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gabri"/>
  <workbookPr/>
  <bookViews>
    <workbookView activeTab="1" xWindow="240" yWindow="60" windowWidth="0" windowHeight="0" tabRatio="500"/>
  </bookViews>
  <sheets>
    <sheet name="Plan1" sheetId="1" r:id="rId4"/>
    <sheet name="Plan2" sheetId="2" r:id="rId5"/>
  </sheets>
  <calcPr/>
  <extLst>
    <ext uri="smNativeData">
      <pm:revision xmlns:pm="smNativeData" day="1565786227" val="966" rev="124" revOS="4" revMin="124" revMax="0"/>
      <pm:docPrefs xmlns:pm="smNativeData" id="1565786227" fixedDigits="0" showNotice="1" showFrameBounds="1" autoChart="1" recalcOnPrint="1" recalcOnCopy="1" compatTextArt="1" tab="567" useDefinedPrintRange="1" printArea="currentSheet"/>
      <pm:compatibility xmlns:pm="smNativeData" id="1565786227" overlapCells="1"/>
      <pm:defCurrency xmlns:pm="smNativeData" id="1565786227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B6" authorId="0">
      <text/>
    </comment>
  </commentList>
</comments>
</file>

<file path=xl/sharedStrings.xml><?xml version="1.0" encoding="utf-8"?>
<sst xmlns="http://schemas.openxmlformats.org/spreadsheetml/2006/main" count="84" uniqueCount="72">
  <si>
    <t>modelo</t>
  </si>
  <si>
    <t>NTCLE100E3103</t>
  </si>
  <si>
    <t>R25 = 10k ± 5%</t>
  </si>
  <si>
    <t>B25/85 = 3977</t>
  </si>
  <si>
    <t>constantes</t>
  </si>
  <si>
    <t>Tref (LM25) [°C]</t>
  </si>
  <si>
    <t>T [K]</t>
  </si>
  <si>
    <t>R medido [kOhm]</t>
  </si>
  <si>
    <t>R esperado</t>
  </si>
  <si>
    <t>R erro [%]</t>
  </si>
  <si>
    <t>A</t>
  </si>
  <si>
    <t>B</t>
  </si>
  <si>
    <t>C</t>
  </si>
  <si>
    <t>D</t>
  </si>
  <si>
    <t>A1</t>
  </si>
  <si>
    <t>B1</t>
  </si>
  <si>
    <t>C1</t>
  </si>
  <si>
    <t>D1</t>
  </si>
  <si>
    <t xml:space="preserve">Resperado = </t>
  </si>
  <si>
    <t>Rnom * EXP(A + B/T + C/T² + D/T³)</t>
  </si>
  <si>
    <t>Rref (kOhm)</t>
  </si>
  <si>
    <t>Hora</t>
  </si>
  <si>
    <t>R1</t>
  </si>
  <si>
    <t>R2</t>
  </si>
  <si>
    <t>R3</t>
  </si>
  <si>
    <t>T1</t>
  </si>
  <si>
    <t>T2</t>
  </si>
  <si>
    <t>T3</t>
  </si>
  <si>
    <t>14h26</t>
  </si>
  <si>
    <t>14h31</t>
  </si>
  <si>
    <t>14h36</t>
  </si>
  <si>
    <t>14h41</t>
  </si>
  <si>
    <t>14h46</t>
  </si>
  <si>
    <t>14h51</t>
  </si>
  <si>
    <t>14h56</t>
  </si>
  <si>
    <t>15h06</t>
  </si>
  <si>
    <t>15h25</t>
  </si>
  <si>
    <t>15h30</t>
  </si>
  <si>
    <t>15h40</t>
  </si>
  <si>
    <t>3 (baixo)</t>
  </si>
  <si>
    <t>T1 - T2</t>
  </si>
  <si>
    <t>T1 - T3</t>
  </si>
  <si>
    <t>T2 - T3</t>
  </si>
  <si>
    <t>9h30</t>
  </si>
  <si>
    <t>9h35</t>
  </si>
  <si>
    <t>9h40</t>
  </si>
  <si>
    <t>9h45</t>
  </si>
  <si>
    <t>9h50</t>
  </si>
  <si>
    <t>9h55</t>
  </si>
  <si>
    <t>10h00</t>
  </si>
  <si>
    <t>10h10</t>
  </si>
  <si>
    <t>10h20</t>
  </si>
  <si>
    <t>10h30</t>
  </si>
  <si>
    <t>10h40</t>
  </si>
  <si>
    <t>10h50</t>
  </si>
  <si>
    <t>11h00</t>
  </si>
  <si>
    <t>11h15</t>
  </si>
  <si>
    <t>11h30</t>
  </si>
  <si>
    <t>11h45</t>
  </si>
  <si>
    <t>12h00</t>
  </si>
  <si>
    <t>12h15</t>
  </si>
  <si>
    <t>12h30</t>
  </si>
  <si>
    <t>12h45</t>
  </si>
  <si>
    <t>13h00</t>
  </si>
  <si>
    <t>13h15</t>
  </si>
  <si>
    <t>13h30</t>
  </si>
  <si>
    <t>13h45</t>
  </si>
  <si>
    <t>14h00</t>
  </si>
  <si>
    <t>14h15</t>
  </si>
  <si>
    <t>14h30</t>
  </si>
  <si>
    <t>AVG</t>
  </si>
  <si>
    <t>MAX</t>
  </si>
</sst>
</file>

<file path=xl/styles.xml><?xml version="1.0" encoding="utf-8"?>
<styleSheet xmlns="http://schemas.openxmlformats.org/spreadsheetml/2006/main">
  <numFmts count="9">
    <numFmt numFmtId="5" formatCode="#,##0\ &quot;R$&quot;;\-#,##0\ &quot;R$&quot;"/>
    <numFmt numFmtId="6" formatCode="#,##0\ &quot;R$&quot;;[Red]\-#,##0\ &quot;R$&quot;"/>
    <numFmt numFmtId="7" formatCode="#,##0.00\ &quot;R$&quot;;\-#,##0.00\ &quot;R$&quot;"/>
    <numFmt numFmtId="8" formatCode="#,##0.00\ &quot;R$&quot;;[Red]\-#,##0.00\ &quot;R$&quot;"/>
    <numFmt numFmtId="42" formatCode="_-* #,##0\ &quot;R$&quot;_-;\-* #,##0\ &quot;R$&quot;_-;_-* &quot;-&quot;\ &quot;R$&quot;_-;_-@_-"/>
    <numFmt numFmtId="41" formatCode="_-* #,##0\ _R_$_-;\-* #,##0\ _R_$_-;_-* &quot;-&quot;\ _R_$_-;_-@_-"/>
    <numFmt numFmtId="44" formatCode="_-* #,##0.00\ &quot;R$&quot;_-;\-* #,##0.00\ &quot;R$&quot;_-;_-* &quot;-&quot;??\ &quot;R$&quot;_-;_-@_-"/>
    <numFmt numFmtId="43" formatCode="_-* #,##0.00\ _R_$_-;\-* #,##0.00\ _R_$_-;_-* &quot;-&quot;??\ _R_$_-;_-@_-"/>
    <numFmt numFmtId="164" formatCode="DD/MM"/>
  </numFmts>
  <fonts count="2">
    <font>
      <name val="Arial"/>
      <family val="2"/>
      <color rgb="FF000000"/>
      <sz val="10"/>
      <extLst>
        <ext uri="smNativeData">
          <pm:charSpec xmlns:pm="smNativeData" id="156578622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12"/>
      <extLst>
        <ext uri="smNativeData">
          <pm:charSpec xmlns:pm="smNativeData" id="1565786227" ulstyle="none" kern="1">
            <pm:latin face="Arial" sz="240" lang="default"/>
            <pm:cs face="Times New Roman" sz="240" lang="default"/>
            <pm:ea face="SimSun" sz="240" lang="default"/>
          </pm:charSpec>
        </ext>
      </extLst>
    </font>
  </fonts>
  <fills count="25">
    <fill>
      <patternFill patternType="none"/>
    </fill>
    <fill>
      <patternFill patternType="gray125"/>
    </fill>
    <fill>
      <patternFill patternType="none"/>
    </fill>
    <fill>
      <patternFill patternType="solid">
        <fgColor rgb="FF9E9EFF"/>
        <bgColor rgb="FFFFFFFF"/>
        <extLst>
          <ext uri="smNativeData">
            <pm:shade xmlns:pm="smNativeData" id="1565786227" type="1" fgLvl="38" fgClr="000000FF" bgLvl="62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9EFFFF"/>
        <bgColor rgb="FFFFFFFF"/>
        <extLst>
          <ext uri="smNativeData">
            <pm:shade xmlns:pm="smNativeData" id="1565786227" type="1" fgLvl="38" fgClr="0000FFFF" bgLvl="62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565786227" type="1" fgLvl="38" fgClr="0000FFFF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65786227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565786227" type="1" fgLvl="38" fgClr="0000FFFF" bgLvl="62" bgClr="00FFFFFF"/>
          </ext>
        </extLst>
      </patternFill>
    </fill>
    <fill>
      <patternFill patternType="solid">
        <fgColor rgb="FFFF5C5C"/>
        <bgColor rgb="FFFFFFFF"/>
        <extLst>
          <ext uri="smNativeData">
            <pm:shade xmlns:pm="smNativeData" id="1565786227" type="1" fgLvl="64" fgClr="00FF0000" bgLvl="36" bgClr="00FFFFFF"/>
          </ext>
        </extLst>
      </patternFill>
    </fill>
  </fills>
  <borders count="2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6578622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extLst>
        <ext uri="smNativeData">
          <pm:border xmlns:pm="smNativeData" id="1565786227">
            <pm:line position="top" type="1" style="0" width="20" dist="20" width2="20" rgb="000000"/>
            <pm:line position="bottom" type="1" style="0" width="4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6578622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6578622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565786227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565786227"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65786227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none">
        <color rgb="FF000000"/>
      </bottom>
      <extLst>
        <ext uri="smNativeData">
          <pm:border xmlns:pm="smNativeData" id="1565786227">
            <pm:line position="top" type="1" style="0" width="4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65786227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65786227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65786227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565786227">
            <pm:line position="bottom" type="1" style="0" width="4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565786227">
            <pm:line position="bottom" type="1" style="0" width="4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565786227">
            <pm:line position="top" type="1" style="0" width="4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565786227">
            <pm:line position="top" type="1" style="0" width="4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565786227">
            <pm:line position="top" type="1" style="0" width="4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ck">
        <color rgb="FF000000"/>
      </top>
      <bottom style="thin">
        <color rgb="FF000000"/>
      </bottom>
      <extLst>
        <ext uri="smNativeData">
          <pm:border xmlns:pm="smNativeData" id="1565786227">
            <pm:line position="top" type="1" style="0" width="4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65786227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Alignment="1">
      <alignment horizontal="center"/>
    </xf>
    <xf numFmtId="0" fontId="1" fillId="3" borderId="2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0" borderId="19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4" borderId="23" xfId="0" applyFill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565786227" count="1">
        <pm:charStyle name="Normal" fontId="0" Id="1"/>
      </pm:charStyles>
      <pm:colors xmlns:pm="smNativeData" id="1565786227" count="2">
        <pm:color name="Cor 24" rgb="9E9EFF"/>
        <pm:color name="Cor 25" rgb="9EFFF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view="normal" topLeftCell="D1" workbookViewId="0">
      <selection activeCell="G3" sqref="G3"/>
    </sheetView>
  </sheetViews>
  <sheetFormatPr baseColWidth="9" defaultColWidth="10.000000" defaultRowHeight="13.45"/>
  <cols>
    <col min="1" max="1" width="13.702703" customWidth="1" style="1"/>
    <col min="2" max="3" width="14.567568" customWidth="1" style="1"/>
    <col min="4" max="4" width="13.675676" customWidth="1" style="1"/>
    <col min="5" max="5" width="12.675676" customWidth="1" style="1"/>
    <col min="6" max="6" width="9.522523" customWidth="1" style="1"/>
    <col min="7" max="7" width="11.117117" customWidth="1" style="1"/>
    <col min="8" max="16384" width="10.000000" style="1"/>
  </cols>
  <sheetData>
    <row r="1" spans="1:6">
      <c r="A1" s="1" t="s">
        <v>0</v>
      </c>
      <c r="B1" s="1" t="s">
        <v>1</v>
      </c>
      <c r="D1" s="1" t="s">
        <v>2</v>
      </c>
      <c r="E1" s="1" t="s">
        <v>3</v>
      </c>
      <c r="F1" s="3" t="s">
        <v>4</v>
      </c>
    </row>
    <row r="2" spans="1:7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3" t="s">
        <v>10</v>
      </c>
      <c r="G2" s="3" t="n">
        <v>-14.6336999999999993</v>
      </c>
    </row>
    <row r="3" spans="1:7">
      <c r="A3" s="8" t="n">
        <v>24.5</v>
      </c>
      <c r="B3" s="8" t="n">
        <v>297.649999999999977</v>
      </c>
      <c r="C3" s="8" t="n">
        <v>10.6799999999999997</v>
      </c>
      <c r="D3" s="8">
        <f>10*EXP(G2+(G3/B3)+(G4/(B3*B3))+(G5/(B3*B3*B3)))</f>
        <v>10.2218699510519002</v>
      </c>
      <c r="E3" s="8">
        <f>(C3/D3-1)*100</f>
        <v>4.4818614513970001</v>
      </c>
      <c r="F3" s="3" t="s">
        <v>11</v>
      </c>
      <c r="G3" s="3" t="n">
        <v>4791.84199999999964</v>
      </c>
    </row>
    <row r="4" spans="1:7">
      <c r="A4" s="7" t="n">
        <v>53</v>
      </c>
      <c r="B4" s="7" t="n">
        <v>326.149999999999977</v>
      </c>
      <c r="C4" s="7" t="n">
        <v>3.47999999999999998</v>
      </c>
      <c r="D4" s="7">
        <f>10*EXP(G2+(G3/B4)+(G4/(B4*B4))+(G5/(B4*B4*B4)))</f>
        <v>3.21963007845150972</v>
      </c>
      <c r="E4" s="7">
        <f>(C4/D4-1)*100</f>
        <v>8.086951457284</v>
      </c>
      <c r="F4" s="3" t="s">
        <v>12</v>
      </c>
      <c r="G4" s="3" t="n">
        <v>-115334</v>
      </c>
    </row>
    <row r="5" spans="1:7">
      <c r="A5" s="6" t="n">
        <v>31</v>
      </c>
      <c r="B5" s="6" t="n">
        <v>304.149999999999977</v>
      </c>
      <c r="C5" s="6" t="n">
        <v>7.79999999999999982</v>
      </c>
      <c r="D5" s="6">
        <f>10*EXP(G2+(G3/B5)+(G4/(B5*B5))+(G5/(B5*B5*B5)))</f>
        <v>7.72455112200306004</v>
      </c>
      <c r="E5" s="6">
        <f>(C5/D5-1)*100</f>
        <v>0.976741260498999964</v>
      </c>
      <c r="F5" s="3" t="s">
        <v>13</v>
      </c>
      <c r="G5" s="3" t="n">
        <v>-3730535</v>
      </c>
    </row>
    <row r="6" spans="1:7">
      <c r="A6" s="5" t="n">
        <v>26.3000000000000007</v>
      </c>
      <c r="B6" s="5" t="n">
        <v>299.449999999999989</v>
      </c>
      <c r="C6" s="5" t="n">
        <v>10.2100000000000009</v>
      </c>
      <c r="D6" s="5">
        <f>10*EXP(G2+(G3/B6)+(G4/(B6*B6))+(G5/(B6*B6*B6)))</f>
        <v>9.4488940889157309</v>
      </c>
      <c r="E6" s="5">
        <f>(C6/D6-1)*100</f>
        <v>8.0549734595619995</v>
      </c>
      <c r="F6" s="3" t="s">
        <v>14</v>
      </c>
      <c r="G6" s="3" t="n">
        <v>0.0035401600000000002</v>
      </c>
    </row>
    <row r="7" spans="1:7">
      <c r="A7" s="7" t="n">
        <v>25.5</v>
      </c>
      <c r="B7" s="7" t="n">
        <v>298.649999999999977</v>
      </c>
      <c r="C7" s="7" t="n">
        <v>10.1500000000000004</v>
      </c>
      <c r="D7" s="7">
        <f>10*EXP(G2+(G3/B7)+(G4/(B7*B7))+(G5/(B7*B7*B7)))</f>
        <v>9.78395253790857922</v>
      </c>
      <c r="E7" s="7">
        <f>(C7/D7-1)*100</f>
        <v>3.74130455634500025</v>
      </c>
      <c r="F7" s="3" t="s">
        <v>15</v>
      </c>
      <c r="G7" s="3" t="n">
        <v>0.000256985000000000019</v>
      </c>
    </row>
    <row r="8" spans="1:7">
      <c r="A8" s="2" t="n">
        <v>50.6000000000000014</v>
      </c>
      <c r="B8" s="2" t="n">
        <v>323.75</v>
      </c>
      <c r="C8" s="2" t="n">
        <v>3.9</v>
      </c>
      <c r="D8" s="2">
        <f>10*EXP(G2+(G3/B8)+(G4/(B8*B8))+(G5/(B8*B8*B8)))</f>
        <v>3.52414332529682017</v>
      </c>
      <c r="E8" s="2">
        <f>(C8/D8-1)*100</f>
        <v>10.6651926442730005</v>
      </c>
      <c r="F8" s="3" t="s">
        <v>16</v>
      </c>
      <c r="G8" s="3" t="n">
        <v>2.620130999999999919E-06</v>
      </c>
    </row>
    <row r="9" spans="1:7">
      <c r="A9" s="2" t="n">
        <v>29.6000000000000014</v>
      </c>
      <c r="B9" s="2" t="n">
        <v>302.75</v>
      </c>
      <c r="C9" s="2" t="n">
        <v>8.5600000000000005</v>
      </c>
      <c r="D9" s="2">
        <f>10*EXP(G2+(G3/B9)+(G4/(B9*B9))+(G5/(B9*B9*B9)))</f>
        <v>8.1976974417477404</v>
      </c>
      <c r="E9" s="2">
        <f>(C9/D9-1)*100</f>
        <v>4.41956489400500008</v>
      </c>
      <c r="F9" s="3" t="s">
        <v>17</v>
      </c>
      <c r="G9" s="3" t="n">
        <v>6.383091000000000204E-08</v>
      </c>
    </row>
    <row r="10" spans="1:5">
      <c r="A10" s="2" t="n">
        <v>25.6999999999999993</v>
      </c>
      <c r="B10" s="2" t="n">
        <v>298.850000000000023</v>
      </c>
      <c r="C10" s="2" t="n">
        <v>10.4499999999999993</v>
      </c>
      <c r="D10" s="2">
        <f>10*EXP(G2+(G3/B10)+(G4/(B3*B10))+(G5/(B10*B10*B10)))</f>
        <v>9.64857878580039063</v>
      </c>
      <c r="E10" s="2">
        <f>(C10/D10-1)*100</f>
        <v>8.30610633950599997</v>
      </c>
    </row>
    <row r="12" spans="3:5">
      <c r="C12" s="4" t="s">
        <v>18</v>
      </c>
      <c r="D12" s="4" t="s">
        <v>19</v>
      </c>
      <c r="E12" s="4"/>
    </row>
    <row r="14" spans="4:4">
      <c r="D14" s="8" t="e">
        <f>10*EXP(G13+(G14/B14)+(G15/(B14*B14))+(G16/(B14*B14*B14)))</f>
        <v>#DIV/0!</v>
      </c>
    </row>
  </sheetData>
  <mergeCells count="2">
    <mergeCell ref="B1:C1"/>
    <mergeCell ref="D12:G12"/>
  </mergeCells>
  <printOptions>
    <extLst>
      <ext uri="smNativeData">
        <pm:pageFlags xmlns:pm="smNativeData" id="15657862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565786227" l="56" r="56" t="56" b="56" borderId="0" fillId="0" vertical="0"/>
        <pm:footer xmlns:pm="smNativeData" id="1565786227" l="56" r="56" t="56" b="56" borderId="0" fillId="0" vertical="2"/>
        <pm:paperBin xmlns:pm="smNativeData" id="1565786227" Id="0" type="0" value="0"/>
        <pm:paperBin xmlns:pm="smNativeData" id="1565786227" Id="1" type="0" value="0"/>
      </ext>
    </extLst>
  </headerFooter>
  <extLst>
    <ext uri="smNativeData">
      <pm:sheetPrefs xmlns:pm="smNativeData" day="15657862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tabSelected="1" view="normal" topLeftCell="A34" workbookViewId="0">
      <selection activeCell="L48" sqref="L48"/>
    </sheetView>
  </sheetViews>
  <sheetFormatPr baseColWidth="9" defaultColWidth="10.000000" defaultRowHeight="13.45"/>
  <cols>
    <col min="1" max="1" width="10.000000" style="1"/>
    <col min="2" max="2" width="11.117117" customWidth="1" style="1"/>
    <col min="3" max="3" width="10.738739" customWidth="1" style="1"/>
    <col min="4" max="4" width="10.000000" style="1"/>
    <col min="5" max="5" width="10.756757" customWidth="1" style="1"/>
    <col min="6" max="16384" width="10.000000" style="1"/>
  </cols>
  <sheetData>
    <row r="1" spans="1:4">
      <c r="A1" s="3" t="s">
        <v>4</v>
      </c>
      <c r="C1" s="1" t="s">
        <v>20</v>
      </c>
      <c r="D1" s="1" t="n">
        <v>10</v>
      </c>
    </row>
    <row r="2" spans="1:2">
      <c r="A2" s="3" t="s">
        <v>10</v>
      </c>
      <c r="B2" s="3" t="n">
        <v>-14.6336999999999993</v>
      </c>
    </row>
    <row r="3" spans="1:2">
      <c r="A3" s="3" t="s">
        <v>11</v>
      </c>
      <c r="B3" s="3" t="n">
        <v>4791.84199999999964</v>
      </c>
    </row>
    <row r="4" spans="1:2">
      <c r="A4" s="3" t="s">
        <v>12</v>
      </c>
      <c r="B4" s="3" t="n">
        <v>-115334</v>
      </c>
    </row>
    <row r="5" spans="1:2">
      <c r="A5" s="3" t="s">
        <v>13</v>
      </c>
      <c r="B5" s="3" t="n">
        <v>-3730535</v>
      </c>
    </row>
    <row r="6" spans="1:2">
      <c r="A6" s="3" t="s">
        <v>14</v>
      </c>
      <c r="B6" s="3" t="n">
        <v>0.00335401599999999966</v>
      </c>
    </row>
    <row r="7" spans="1:2">
      <c r="A7" s="3" t="s">
        <v>15</v>
      </c>
      <c r="B7" s="3" t="n">
        <v>0.000256985000000000019</v>
      </c>
    </row>
    <row r="8" spans="1:2">
      <c r="A8" s="3" t="s">
        <v>16</v>
      </c>
      <c r="B8" s="3" t="n">
        <v>2.620130999999999919E-06</v>
      </c>
    </row>
    <row r="9" spans="1:2">
      <c r="A9" s="3" t="s">
        <v>17</v>
      </c>
      <c r="B9" s="3" t="n">
        <v>6.383091000000000204E-08</v>
      </c>
    </row>
    <row r="10" spans="1:1">
      <c r="A10" s="10" t="n">
        <v>43689</v>
      </c>
    </row>
    <row r="11" spans="1:7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1" t="s">
        <v>26</v>
      </c>
      <c r="G11" s="1" t="s">
        <v>27</v>
      </c>
    </row>
    <row r="12" spans="1:7">
      <c r="A12" s="1" t="s">
        <v>28</v>
      </c>
      <c r="B12" s="1" t="n">
        <v>6.12999999999999989</v>
      </c>
      <c r="C12" s="1" t="n">
        <v>5.95999999999999996</v>
      </c>
      <c r="D12" s="1" t="n">
        <v>6.41000000000000014</v>
      </c>
      <c r="E12" s="1">
        <f>1/($B$6+$B$7*LN(B12/$D$1)+$B$8*POWER(LN(B12/$D$1),2)+$B$9*POWER(LN(B12/$D$1),3))-272.15</f>
        <v>37.5558656151600303</v>
      </c>
      <c r="F12" s="1">
        <f>1/($B$6+$B$7*LN(C12/$D$1)+$B$8*POWER(LN(C12/$D$1),2)+$B$9*POWER(LN(C12/$D$1),3))-272.15</f>
        <v>38.2436505023090376</v>
      </c>
      <c r="G12" s="1">
        <f>1/($B$6+$B$7*LN(D12/$D$1)+$B$8*POWER(LN(D12/$D$1),2)+$B$9*POWER(LN(D12/$D$1),3))-272.15</f>
        <v>36.4690448721730149</v>
      </c>
    </row>
    <row r="13" spans="1:7">
      <c r="A13" s="1" t="s">
        <v>29</v>
      </c>
      <c r="B13" s="1" t="n">
        <v>6.19000000000000039</v>
      </c>
      <c r="C13" s="1" t="n">
        <v>5.99000000000000021</v>
      </c>
      <c r="D13" s="1" t="n">
        <v>6.24000000000000021</v>
      </c>
      <c r="E13" s="1">
        <f>1/($B$6+$B$7*LN(B13/$D$1)+$B$8*POWER(LN(B13/$D$1),2)+$B$9*POWER(LN(B13/$D$1),3))-272.15</f>
        <v>37.3182845187949965</v>
      </c>
      <c r="F13" s="1">
        <f>1/($B$6+$B$7*LN(C13/$D$1)+$B$8*POWER(LN(C13/$D$1),2)+$B$9*POWER(LN(C13/$D$1),3))-272.15</f>
        <v>38.1206668444989987</v>
      </c>
      <c r="G13" s="1">
        <f>1/($B$6+$B$7*LN(D13/$D$1)+$B$8*POWER(LN(D13/$D$1),2)+$B$9*POWER(LN(D13/$D$1),3))-272.15</f>
        <v>37.1222929298490385</v>
      </c>
    </row>
    <row r="14" spans="1:7">
      <c r="A14" s="1" t="s">
        <v>30</v>
      </c>
      <c r="B14" s="1" t="n">
        <v>6.21999999999999975</v>
      </c>
      <c r="C14" s="1" t="n">
        <v>6.13999999999999968</v>
      </c>
      <c r="D14" s="1" t="n">
        <v>6.40000000000000036</v>
      </c>
      <c r="E14" s="1">
        <f>1/($B$6+$B$7*LN(B14/$D$1)+$B$8*POWER(LN(B14/$D$1),2)+$B$9*POWER(LN(B14/$D$1),3))-272.15</f>
        <v>37.2004744379050294</v>
      </c>
      <c r="F14" s="1">
        <f>1/($B$6+$B$7*LN(C14/$D$1)+$B$8*POWER(LN(C14/$D$1),2)+$B$9*POWER(LN(C14/$D$1),3))-272.15</f>
        <v>37.5160855070320167</v>
      </c>
      <c r="G14" s="1">
        <f>1/($B$6+$B$7*LN(D14/$D$1)+$B$8*POWER(LN(D14/$D$1),2)+$B$9*POWER(LN(D14/$D$1),3))-272.15</f>
        <v>36.5069230367070077</v>
      </c>
    </row>
    <row r="15" spans="1:7">
      <c r="A15" s="1" t="s">
        <v>31</v>
      </c>
      <c r="B15" s="1" t="n">
        <v>6.29000000000000004</v>
      </c>
      <c r="C15" s="1" t="n">
        <v>6.12999999999999989</v>
      </c>
      <c r="D15" s="1" t="n">
        <v>6.51999999999999957</v>
      </c>
      <c r="E15" s="1">
        <f>1/($B$6+$B$7*LN(B15/$D$1)+$B$8*POWER(LN(B15/$D$1),2)+$B$9*POWER(LN(B15/$D$1),3))-272.15</f>
        <v>36.9280797576309965</v>
      </c>
      <c r="F15" s="1">
        <f>1/($B$6+$B$7*LN(C15/$D$1)+$B$8*POWER(LN(C15/$D$1),2)+$B$9*POWER(LN(C15/$D$1),3))-272.15</f>
        <v>37.5558656151600303</v>
      </c>
      <c r="G15" s="1">
        <f>1/($B$6+$B$7*LN(D15/$D$1)+$B$8*POWER(LN(D15/$D$1),2)+$B$9*POWER(LN(D15/$D$1),3))-272.15</f>
        <v>36.0567679009040489</v>
      </c>
    </row>
    <row r="16" spans="1:7">
      <c r="A16" s="1" t="s">
        <v>32</v>
      </c>
      <c r="B16" s="1" t="n">
        <v>6.20000000000000018</v>
      </c>
      <c r="C16" s="1" t="n">
        <v>6.62000000000000011</v>
      </c>
      <c r="D16" s="1" t="n">
        <v>6.75999999999999979</v>
      </c>
      <c r="E16" s="1">
        <f>1/($B$6+$B$7*LN(B16/$D$1)+$B$8*POWER(LN(B16/$D$1),2)+$B$9*POWER(LN(B16/$D$1),3))-272.15</f>
        <v>37.2789424517470138</v>
      </c>
      <c r="F16" s="1">
        <f>1/($B$6+$B$7*LN(C16/$D$1)+$B$8*POWER(LN(C16/$D$1),2)+$B$9*POWER(LN(C16/$D$1),3))-272.15</f>
        <v>35.688776619541045</v>
      </c>
      <c r="G16" s="1">
        <f>1/($B$6+$B$7*LN(D16/$D$1)+$B$8*POWER(LN(D16/$D$1),2)+$B$9*POWER(LN(D16/$D$1),3))-272.15</f>
        <v>35.1840718917410413</v>
      </c>
    </row>
    <row r="17" spans="1:7">
      <c r="A17" s="1" t="s">
        <v>33</v>
      </c>
      <c r="B17" s="1" t="n">
        <v>6.25</v>
      </c>
      <c r="C17" s="1" t="n">
        <v>6.41999999999999993</v>
      </c>
      <c r="D17" s="1" t="n">
        <v>6.86000000000000032</v>
      </c>
      <c r="E17" s="1">
        <f>1/($B$6+$B$7*LN(B17/$D$1)+$B$8*POWER(LN(B17/$D$1),2)+$B$9*POWER(LN(B17/$D$1),3))-272.15</f>
        <v>37.0833089997390175</v>
      </c>
      <c r="F17" s="1">
        <f>1/($B$6+$B$7*LN(C17/$D$1)+$B$8*POWER(LN(C17/$D$1),2)+$B$9*POWER(LN(C17/$D$1),3))-272.15</f>
        <v>36.4312338537980054</v>
      </c>
      <c r="G17" s="1">
        <f>1/($B$6+$B$7*LN(D17/$D$1)+$B$8*POWER(LN(D17/$D$1),2)+$B$9*POWER(LN(D17/$D$1),3))-272.15</f>
        <v>34.83078905308804</v>
      </c>
    </row>
    <row r="18" spans="1:7">
      <c r="A18" s="1" t="s">
        <v>34</v>
      </c>
      <c r="B18" s="1" t="n">
        <v>6.17999999999999972</v>
      </c>
      <c r="C18" s="1" t="n">
        <v>6.66999999999999993</v>
      </c>
      <c r="D18" s="1" t="n">
        <v>6.88999999999999968</v>
      </c>
      <c r="E18" s="1">
        <f>1/($B$6+$B$7*LN(B18/$D$1)+$B$8*POWER(LN(B18/$D$1),2)+$B$9*POWER(LN(B18/$D$1),3))-272.15</f>
        <v>37.3576989591510369</v>
      </c>
      <c r="F18" s="1">
        <f>1/($B$6+$B$7*LN(C18/$D$1)+$B$8*POWER(LN(C18/$D$1),2)+$B$9*POWER(LN(C18/$D$1),3))-272.15</f>
        <v>35.5071435617639963</v>
      </c>
      <c r="G18" s="1">
        <f>1/($B$6+$B$7*LN(D18/$D$1)+$B$8*POWER(LN(D18/$D$1),2)+$B$9*POWER(LN(D18/$D$1),3))-272.15</f>
        <v>34.7259445040830315</v>
      </c>
    </row>
    <row r="19" spans="1:7">
      <c r="A19" s="9" t="s">
        <v>35</v>
      </c>
      <c r="B19" s="9" t="n">
        <v>5.99000000000000021</v>
      </c>
      <c r="C19" s="9" t="n">
        <v>6.09999999999999964</v>
      </c>
      <c r="D19" s="9" t="n">
        <v>6.11000000000000032</v>
      </c>
      <c r="E19" s="1">
        <f>1/($B$6+$B$7*LN(B19/$D$1)+$B$8*POWER(LN(B19/$D$1),2)+$B$9*POWER(LN(B19/$D$1),3))-272.15</f>
        <v>38.1206668444989987</v>
      </c>
      <c r="F19" s="1">
        <f>1/($B$6+$B$7*LN(C19/$D$1)+$B$8*POWER(LN(C19/$D$1),2)+$B$9*POWER(LN(C19/$D$1),3))-272.15</f>
        <v>37.6756503949240482</v>
      </c>
      <c r="G19" s="1">
        <f>1/($B$6+$B$7*LN(D19/$D$1)+$B$8*POWER(LN(D19/$D$1),2)+$B$9*POWER(LN(D19/$D$1),3))-272.15</f>
        <v>37.6356477989170344</v>
      </c>
    </row>
    <row r="20" spans="1:7">
      <c r="A20" s="1" t="s">
        <v>36</v>
      </c>
      <c r="B20" s="1" t="n">
        <v>8.33000000000000007</v>
      </c>
      <c r="C20" s="1" t="n">
        <v>8.50999999999999801</v>
      </c>
      <c r="D20" s="1" t="n">
        <v>8.46000000000000085</v>
      </c>
      <c r="E20" s="12">
        <f>1/($B$6+$B$7*LN(B20/$D$1)+$B$8*POWER(LN(B20/$D$1),2)+$B$9*POWER(LN(B20/$D$1),3))-272.15</f>
        <v>30.2254887888080361</v>
      </c>
      <c r="F20" s="12">
        <f>1/($B$6+$B$7*LN(C20/$D$1)+$B$8*POWER(LN(C20/$D$1),2)+$B$9*POWER(LN(C20/$D$1),3))-272.15</f>
        <v>29.7257500762030418</v>
      </c>
      <c r="G20" s="12">
        <f>1/($B$6+$B$7*LN(D20/$D$1)+$B$8*POWER(LN(D20/$D$1),2)+$B$9*POWER(LN(D20/$D$1),3))-272.15</f>
        <v>29.8633546802720389</v>
      </c>
    </row>
    <row r="21" spans="1:7">
      <c r="A21" s="1" t="s">
        <v>37</v>
      </c>
      <c r="B21" s="1" t="n">
        <v>8.33000000000000007</v>
      </c>
      <c r="C21" s="1" t="n">
        <v>8.52999999999999936</v>
      </c>
      <c r="D21" s="1" t="n">
        <v>8.5</v>
      </c>
      <c r="E21" s="1">
        <f>1/($B$6+$B$7*LN(B21/$D$1)+$B$8*POWER(LN(B21/$D$1),2)+$B$9*POWER(LN(B21/$D$1),3))-272.15</f>
        <v>30.2254887888080361</v>
      </c>
      <c r="F21" s="1">
        <f>1/($B$6+$B$7*LN(C21/$D$1)+$B$8*POWER(LN(C21/$D$1),2)+$B$9*POWER(LN(C21/$D$1),3))-272.15</f>
        <v>29.6709648348890482</v>
      </c>
      <c r="G21" s="1">
        <f>1/($B$6+$B$7*LN(D21/$D$1)+$B$8*POWER(LN(D21/$D$1),2)+$B$9*POWER(LN(D21/$D$1),3))-272.15</f>
        <v>29.7531974978120388</v>
      </c>
    </row>
    <row r="22" spans="1:7">
      <c r="A22" s="1" t="s">
        <v>38</v>
      </c>
      <c r="B22" s="1" t="n">
        <v>8.34999999999999787</v>
      </c>
      <c r="C22" s="1" t="n">
        <v>8.51999999999999957</v>
      </c>
      <c r="D22" s="1" t="n">
        <v>8.50999999999999801</v>
      </c>
      <c r="E22" s="1">
        <f>1/($B$6+$B$7*LN(B22/$D$1)+$B$8*POWER(LN(B22/$D$1),2)+$B$9*POWER(LN(B22/$D$1),3))-272.15</f>
        <v>30.1693601309710289</v>
      </c>
      <c r="F22" s="1">
        <f>1/($B$6+$B$7*LN(C22/$D$1)+$B$8*POWER(LN(C22/$D$1),2)+$B$9*POWER(LN(C22/$D$1),3))-272.15</f>
        <v>29.6983392192540236</v>
      </c>
      <c r="G22" s="1">
        <f>1/($B$6+$B$7*LN(D22/$D$1)+$B$8*POWER(LN(D22/$D$1),2)+$B$9*POWER(LN(D22/$D$1),3))-272.15</f>
        <v>29.7257500762030418</v>
      </c>
    </row>
    <row r="24" spans="1:10">
      <c r="A24" s="13" t="n">
        <v>43690</v>
      </c>
      <c r="B24" s="14" t="n">
        <v>1</v>
      </c>
      <c r="C24" s="14" t="n">
        <v>2</v>
      </c>
      <c r="D24" s="14" t="s">
        <v>39</v>
      </c>
      <c r="E24" s="14" t="s">
        <v>25</v>
      </c>
      <c r="F24" s="14" t="s">
        <v>26</v>
      </c>
      <c r="G24" s="14" t="s">
        <v>27</v>
      </c>
      <c r="H24" s="14" t="s">
        <v>40</v>
      </c>
      <c r="I24" s="14" t="s">
        <v>41</v>
      </c>
      <c r="J24" s="15" t="s">
        <v>42</v>
      </c>
    </row>
    <row r="25" spans="1:10">
      <c r="A25" s="16" t="s">
        <v>43</v>
      </c>
      <c r="B25" s="1" t="n">
        <v>8.5</v>
      </c>
      <c r="C25" s="1" t="n">
        <v>8.43999999999999773</v>
      </c>
      <c r="D25" s="1" t="n">
        <v>8.13000000000000078</v>
      </c>
      <c r="E25" s="1">
        <f>1/($B$6+$B$7*LN(B25/$D$1)+$B$8*POWER(LN(B25/$D$1),2)+$B$9*POWER(LN(B25/$D$1),3))-272.15</f>
        <v>29.7531974978120388</v>
      </c>
      <c r="F25" s="1">
        <f>1/($B$6+$B$7*LN(C25/$D$1)+$B$8*POWER(LN(C25/$D$1),2)+$B$9*POWER(LN(C25/$D$1),3))-272.15</f>
        <v>29.9186550739140102</v>
      </c>
      <c r="G25" s="1">
        <f>1/($B$6+$B$7*LN(D25/$D$1)+$B$8*POWER(LN(D25/$D$1),2)+$B$9*POWER(LN(D25/$D$1),3))-272.15</f>
        <v>30.7953292827590417</v>
      </c>
      <c r="H25" s="1">
        <f>E25-F25</f>
        <v>-0.165457576101999848</v>
      </c>
      <c r="I25" s="1">
        <f>E25-G25</f>
        <v>-1.04213178494699932</v>
      </c>
      <c r="J25" s="17">
        <f>F25-G25</f>
        <v>-0.87667420884499947</v>
      </c>
    </row>
    <row r="26" spans="1:10">
      <c r="A26" s="16" t="s">
        <v>44</v>
      </c>
      <c r="B26" s="1" t="n">
        <v>6.33999999999999986</v>
      </c>
      <c r="C26" s="1" t="n">
        <v>6.54000000000000004</v>
      </c>
      <c r="D26" s="1" t="n">
        <v>6.94000000000000039</v>
      </c>
      <c r="E26" s="1">
        <f>1/($B$6+$B$7*LN(B26/$D$1)+$B$8*POWER(LN(B26/$D$1),2)+$B$9*POWER(LN(B26/$D$1),3))-272.15</f>
        <v>36.7356147926050198</v>
      </c>
      <c r="F26" s="1">
        <f>1/($B$6+$B$7*LN(C26/$D$1)+$B$8*POWER(LN(C26/$D$1),2)+$B$9*POWER(LN(C26/$D$1),3))-272.15</f>
        <v>35.982658474614027</v>
      </c>
      <c r="G26" s="1">
        <f>1/($B$6+$B$7*LN(D26/$D$1)+$B$8*POWER(LN(D26/$D$1),2)+$B$9*POWER(LN(D26/$D$1),3))-272.15</f>
        <v>34.5523513651839949</v>
      </c>
      <c r="H26" s="1">
        <f>E26-F26</f>
        <v>0.752956317990999935</v>
      </c>
      <c r="I26" s="1">
        <f>E26-G26</f>
        <v>2.18326342742099655</v>
      </c>
      <c r="J26" s="17">
        <f>F26-G26</f>
        <v>1.43030710942999661</v>
      </c>
    </row>
    <row r="27" spans="1:10">
      <c r="A27" s="16" t="s">
        <v>45</v>
      </c>
      <c r="B27" s="1" t="n">
        <v>6.07000000000000028</v>
      </c>
      <c r="C27" s="1" t="n">
        <v>6.24000000000000021</v>
      </c>
      <c r="D27" s="1" t="n">
        <v>6.66999999999999993</v>
      </c>
      <c r="E27" s="1">
        <f>1/($B$6+$B$7*LN(B27/$D$1)+$B$8*POWER(LN(B27/$D$1),2)+$B$9*POWER(LN(B27/$D$1),3))-272.15</f>
        <v>37.7961073504460501</v>
      </c>
      <c r="F27" s="1">
        <f>1/($B$6+$B$7*LN(C27/$D$1)+$B$8*POWER(LN(C27/$D$1),2)+$B$9*POWER(LN(C27/$D$1),3))-272.15</f>
        <v>37.1222929298490385</v>
      </c>
      <c r="G27" s="1">
        <f>1/($B$6+$B$7*LN(D27/$D$1)+$B$8*POWER(LN(D27/$D$1),2)+$B$9*POWER(LN(D27/$D$1),3))-272.15</f>
        <v>35.5071435617639963</v>
      </c>
      <c r="H27" s="1">
        <f>E27-F27</f>
        <v>0.673814420597096841</v>
      </c>
      <c r="I27" s="1">
        <f>E27-G27</f>
        <v>2.28896378868209638</v>
      </c>
      <c r="J27" s="17">
        <f>F27-G27</f>
        <v>1.61514936808499954</v>
      </c>
    </row>
    <row r="28" spans="1:10">
      <c r="A28" s="16" t="s">
        <v>46</v>
      </c>
      <c r="B28" s="1" t="n">
        <v>5.84999999999999964</v>
      </c>
      <c r="C28" s="1" t="n">
        <v>6.11000000000000032</v>
      </c>
      <c r="D28" s="1" t="n">
        <v>6.54000000000000004</v>
      </c>
      <c r="E28" s="1">
        <f>1/($B$6+$B$7*LN(B28/$D$1)+$B$8*POWER(LN(B28/$D$1),2)+$B$9*POWER(LN(B28/$D$1),3))-272.15</f>
        <v>38.700694310456015</v>
      </c>
      <c r="F28" s="1">
        <f>1/($B$6+$B$7*LN(C28/$D$1)+$B$8*POWER(LN(C28/$D$1),2)+$B$9*POWER(LN(C28/$D$1),3))-272.15</f>
        <v>37.6356477989170344</v>
      </c>
      <c r="G28" s="1">
        <f>1/($B$6+$B$7*LN(D28/$D$1)+$B$8*POWER(LN(D28/$D$1),2)+$B$9*POWER(LN(D28/$D$1),3))-272.15</f>
        <v>35.982658474614027</v>
      </c>
      <c r="H28" s="1">
        <f>E28-F28</f>
        <v>1.06504651153900198</v>
      </c>
      <c r="I28" s="1">
        <f>E28-G28</f>
        <v>2.71803583584200226</v>
      </c>
      <c r="J28" s="17">
        <f>F28-G28</f>
        <v>1.65298932430300027</v>
      </c>
    </row>
    <row r="29" spans="1:10">
      <c r="A29" s="16" t="s">
        <v>47</v>
      </c>
      <c r="B29" s="1" t="n">
        <v>5.88999999999999968</v>
      </c>
      <c r="C29" s="1" t="n">
        <v>6.08000000000000007</v>
      </c>
      <c r="D29" s="1" t="n">
        <v>6.54000000000000004</v>
      </c>
      <c r="E29" s="1">
        <f>1/($B$6+$B$7*LN(B29/$D$1)+$B$8*POWER(LN(B29/$D$1),2)+$B$9*POWER(LN(B29/$D$1),3))-272.15</f>
        <v>38.5333733278410477</v>
      </c>
      <c r="F29" s="1">
        <f>1/($B$6+$B$7*LN(C29/$D$1)+$B$8*POWER(LN(C29/$D$1),2)+$B$9*POWER(LN(C29/$D$1),3))-272.15</f>
        <v>37.7558799064200343</v>
      </c>
      <c r="G29" s="1">
        <f>1/($B$6+$B$7*LN(D29/$D$1)+$B$8*POWER(LN(D29/$D$1),2)+$B$9*POWER(LN(D29/$D$1),3))-272.15</f>
        <v>35.982658474614027</v>
      </c>
      <c r="H29" s="1">
        <f>E29-F29</f>
        <v>0.777493421421098674</v>
      </c>
      <c r="I29" s="1">
        <f>E29-G29</f>
        <v>2.5507148532270989</v>
      </c>
      <c r="J29" s="17">
        <f>F29-G29</f>
        <v>1.77322143180600023</v>
      </c>
    </row>
    <row r="30" spans="1:10">
      <c r="A30" s="16" t="s">
        <v>48</v>
      </c>
      <c r="B30" s="1" t="n">
        <v>5.92999999999999972</v>
      </c>
      <c r="C30" s="1" t="n">
        <v>6.05999999999999961</v>
      </c>
      <c r="D30" s="1" t="n">
        <v>6.51999999999999957</v>
      </c>
      <c r="E30" s="1">
        <f>1/($B$6+$B$7*LN(B30/$D$1)+$B$8*POWER(LN(B30/$D$1),2)+$B$9*POWER(LN(B30/$D$1),3))-272.15</f>
        <v>38.3673406949779974</v>
      </c>
      <c r="F30" s="1">
        <f>1/($B$6+$B$7*LN(C30/$D$1)+$B$8*POWER(LN(C30/$D$1),2)+$B$9*POWER(LN(C30/$D$1),3))-272.15</f>
        <v>37.8364102743550461</v>
      </c>
      <c r="G30" s="1">
        <f>1/($B$6+$B$7*LN(D30/$D$1)+$B$8*POWER(LN(D30/$D$1),2)+$B$9*POWER(LN(D30/$D$1),3))-272.15</f>
        <v>36.0567679009040489</v>
      </c>
      <c r="H30" s="1">
        <f>E30-F30</f>
        <v>0.530930420622894417</v>
      </c>
      <c r="I30" s="1">
        <f>E30-G30</f>
        <v>2.31057279407389871</v>
      </c>
      <c r="J30" s="17">
        <f>F30-G30</f>
        <v>1.77964237345100429</v>
      </c>
    </row>
    <row r="31" spans="1:10">
      <c r="A31" s="16" t="s">
        <v>49</v>
      </c>
      <c r="B31" s="1" t="n">
        <v>5.87999999999999989</v>
      </c>
      <c r="C31" s="1" t="n">
        <v>6.03000000000000025</v>
      </c>
      <c r="D31" s="1" t="n">
        <v>6.50999999999999979</v>
      </c>
      <c r="E31" s="1">
        <f>1/($B$6+$B$7*LN(B31/$D$1)+$B$8*POWER(LN(B31/$D$1),2)+$B$9*POWER(LN(B31/$D$1),3))-272.15</f>
        <v>38.5750820557810243</v>
      </c>
      <c r="F31" s="1">
        <f>1/($B$6+$B$7*LN(C31/$D$1)+$B$8*POWER(LN(C31/$D$1),2)+$B$9*POWER(LN(C31/$D$1),3))-272.15</f>
        <v>37.9577746099550382</v>
      </c>
      <c r="G31" s="1">
        <f>1/($B$6+$B$7*LN(D31/$D$1)+$B$8*POWER(LN(D31/$D$1),2)+$B$9*POWER(LN(D31/$D$1),3))-272.15</f>
        <v>36.0939196149290069</v>
      </c>
      <c r="H31" s="1">
        <f>E31-F31</f>
        <v>0.617307445826000389</v>
      </c>
      <c r="I31" s="1">
        <f>E31-G31</f>
        <v>2.48116244085200321</v>
      </c>
      <c r="J31" s="17">
        <f>F31-G31</f>
        <v>1.86385499502600283</v>
      </c>
    </row>
    <row r="32" spans="1:10">
      <c r="A32" s="16" t="s">
        <v>50</v>
      </c>
      <c r="B32" s="1" t="n">
        <v>5.59999999999999964</v>
      </c>
      <c r="C32" s="1" t="n">
        <v>5.87000000000000011</v>
      </c>
      <c r="D32" s="1" t="n">
        <v>6.29999999999999982</v>
      </c>
      <c r="E32" s="1">
        <f>1/($B$6+$B$7*LN(B32/$D$1)+$B$8*POWER(LN(B32/$D$1),2)+$B$9*POWER(LN(B32/$D$1),3))-272.15</f>
        <v>39.7768575980410333</v>
      </c>
      <c r="F32" s="1">
        <f>1/($B$6+$B$7*LN(C32/$D$1)+$B$8*POWER(LN(C32/$D$1),2)+$B$9*POWER(LN(C32/$D$1),3))-272.15</f>
        <v>38.6168715981009996</v>
      </c>
      <c r="G32" s="1">
        <f>1/($B$6+$B$7*LN(D32/$D$1)+$B$8*POWER(LN(D32/$D$1),2)+$B$9*POWER(LN(D32/$D$1),3))-272.15</f>
        <v>36.8894478613970023</v>
      </c>
      <c r="H32" s="1">
        <f>E32-F32</f>
        <v>1.15998599993999818</v>
      </c>
      <c r="I32" s="1">
        <f>E32-G32</f>
        <v>2.88740973664399547</v>
      </c>
      <c r="J32" s="17">
        <f>F32-G32</f>
        <v>1.72742373670399729</v>
      </c>
    </row>
    <row r="33" spans="1:10">
      <c r="A33" s="16" t="s">
        <v>51</v>
      </c>
      <c r="B33" s="1" t="n">
        <v>5.63999999999999968</v>
      </c>
      <c r="C33" s="1" t="n">
        <v>5.84999999999999964</v>
      </c>
      <c r="D33" s="1" t="n">
        <v>6.25999999999999979</v>
      </c>
      <c r="E33" s="1">
        <f>1/($B$6+$B$7*LN(B33/$D$1)+$B$8*POWER(LN(B33/$D$1),2)+$B$9*POWER(LN(B33/$D$1),3))-272.15</f>
        <v>39.601037220133037</v>
      </c>
      <c r="F33" s="1">
        <f>1/($B$6+$B$7*LN(C33/$D$1)+$B$8*POWER(LN(C33/$D$1),2)+$B$9*POWER(LN(C33/$D$1),3))-272.15</f>
        <v>38.700694310456015</v>
      </c>
      <c r="G33" s="1">
        <f>1/($B$6+$B$7*LN(D33/$D$1)+$B$8*POWER(LN(D33/$D$1),2)+$B$9*POWER(LN(D33/$D$1),3))-272.15</f>
        <v>37.0443959596990453</v>
      </c>
      <c r="H33" s="1">
        <f>E33-F33</f>
        <v>0.900342909677000591</v>
      </c>
      <c r="I33" s="1">
        <f>E33-G33</f>
        <v>2.55664126043389928</v>
      </c>
      <c r="J33" s="17">
        <f>F33-G33</f>
        <v>1.65629835075689869</v>
      </c>
    </row>
    <row r="34" spans="1:10">
      <c r="A34" s="16" t="s">
        <v>52</v>
      </c>
      <c r="B34" s="1" t="n">
        <v>5.75999999999999979</v>
      </c>
      <c r="C34" s="1" t="n">
        <v>6.07000000000000028</v>
      </c>
      <c r="D34" s="1" t="n">
        <v>6.30999999999999961</v>
      </c>
      <c r="E34" s="1">
        <f>1/($B$6+$B$7*LN(B34/$D$1)+$B$8*POWER(LN(B34/$D$1),2)+$B$9*POWER(LN(B34/$D$1),3))-272.15</f>
        <v>39.0819760925810442</v>
      </c>
      <c r="F34" s="1">
        <f>1/($B$6+$B$7*LN(C34/$D$1)+$B$8*POWER(LN(C34/$D$1),2)+$B$9*POWER(LN(C34/$D$1),3))-272.15</f>
        <v>37.7961073504460501</v>
      </c>
      <c r="G34" s="1">
        <f>1/($B$6+$B$7*LN(D34/$D$1)+$B$8*POWER(LN(D34/$D$1),2)+$B$9*POWER(LN(D34/$D$1),3))-272.15</f>
        <v>36.8508856532210416</v>
      </c>
      <c r="H34" s="1">
        <f>E34-F34</f>
        <v>1.28586874213500124</v>
      </c>
      <c r="I34" s="1">
        <f>E34-G34</f>
        <v>2.2310904393601021</v>
      </c>
      <c r="J34" s="17">
        <f>F34-G34</f>
        <v>0.945221697225100854</v>
      </c>
    </row>
    <row r="35" spans="1:10">
      <c r="A35" s="16" t="s">
        <v>53</v>
      </c>
      <c r="B35" s="1" t="n">
        <v>6.00999999999999979</v>
      </c>
      <c r="C35" s="1" t="n">
        <v>6.30999999999999961</v>
      </c>
      <c r="D35" s="1" t="n">
        <v>6.62000000000000011</v>
      </c>
      <c r="E35" s="1">
        <f>1/($B$6+$B$7*LN(B35/$D$1)+$B$8*POWER(LN(B35/$D$1),2)+$B$9*POWER(LN(B35/$D$1),3))-272.15</f>
        <v>38.0390665120850144</v>
      </c>
      <c r="F35" s="1">
        <f>1/($B$6+$B$7*LN(C35/$D$1)+$B$8*POWER(LN(C35/$D$1),2)+$B$9*POWER(LN(C35/$D$1),3))-272.15</f>
        <v>36.8508856532210416</v>
      </c>
      <c r="G35" s="1">
        <f>1/($B$6+$B$7*LN(D35/$D$1)+$B$8*POWER(LN(D35/$D$1),2)+$B$9*POWER(LN(D35/$D$1),3))-272.15</f>
        <v>35.688776619541045</v>
      </c>
      <c r="H35" s="1">
        <f>E35-F35</f>
        <v>1.18818085886400127</v>
      </c>
      <c r="I35" s="1">
        <f>E35-G35</f>
        <v>2.35028989254389842</v>
      </c>
      <c r="J35" s="17">
        <f>F35-G35</f>
        <v>1.16210903367989715</v>
      </c>
    </row>
    <row r="36" spans="1:10">
      <c r="A36" s="16" t="s">
        <v>54</v>
      </c>
      <c r="B36" s="1" t="n">
        <v>5.94000000000000039</v>
      </c>
      <c r="C36" s="1" t="n">
        <v>6.29000000000000004</v>
      </c>
      <c r="D36" s="1" t="n">
        <v>6.54000000000000004</v>
      </c>
      <c r="E36" s="1">
        <f>1/($B$6+$B$7*LN(B36/$D$1)+$B$8*POWER(LN(B36/$D$1),2)+$B$9*POWER(LN(B36/$D$1),3))-272.15</f>
        <v>38.3260316542870214</v>
      </c>
      <c r="F36" s="1">
        <f>1/($B$6+$B$7*LN(C36/$D$1)+$B$8*POWER(LN(C36/$D$1),2)+$B$9*POWER(LN(C36/$D$1),3))-272.15</f>
        <v>36.9280797576309965</v>
      </c>
      <c r="G36" s="1">
        <f>1/($B$6+$B$7*LN(D36/$D$1)+$B$8*POWER(LN(D36/$D$1),2)+$B$9*POWER(LN(D36/$D$1),3))-272.15</f>
        <v>35.982658474614027</v>
      </c>
      <c r="H36" s="1">
        <f>E36-F36</f>
        <v>1.39795189665600361</v>
      </c>
      <c r="I36" s="1">
        <f>E36-G36</f>
        <v>2.34337317967300152</v>
      </c>
      <c r="J36" s="17">
        <f>F36-G36</f>
        <v>0.945421283016997904</v>
      </c>
    </row>
    <row r="37" spans="1:10">
      <c r="A37" s="16" t="s">
        <v>55</v>
      </c>
      <c r="B37" s="1" t="n">
        <v>5.98000000000000043</v>
      </c>
      <c r="C37" s="1" t="n">
        <v>6.36000000000000032</v>
      </c>
      <c r="D37" s="1" t="n">
        <v>6.63999999999999968</v>
      </c>
      <c r="E37" s="1">
        <f>1/($B$6+$B$7*LN(B37/$D$1)+$B$8*POWER(LN(B37/$D$1),2)+$B$9*POWER(LN(B37/$D$1),3))-272.15</f>
        <v>38.1615833633110242</v>
      </c>
      <c r="F37" s="1">
        <f>1/($B$6+$B$7*LN(C37/$D$1)+$B$8*POWER(LN(C37/$D$1),2)+$B$9*POWER(LN(C37/$D$1),3))-272.15</f>
        <v>36.6591116805280421</v>
      </c>
      <c r="G37" s="1">
        <f>1/($B$6+$B$7*LN(D37/$D$1)+$B$8*POWER(LN(D37/$D$1),2)+$B$9*POWER(LN(D37/$D$1),3))-272.15</f>
        <v>35.6159368361520023</v>
      </c>
      <c r="H37" s="1">
        <f>E37-F37</f>
        <v>1.50247168278300336</v>
      </c>
      <c r="I37" s="1">
        <f>E37-G37</f>
        <v>2.54564652715900053</v>
      </c>
      <c r="J37" s="17">
        <f>F37-G37</f>
        <v>1.04317484437599717</v>
      </c>
    </row>
    <row r="38" spans="1:10">
      <c r="A38" s="16" t="s">
        <v>56</v>
      </c>
      <c r="B38" s="1" t="n">
        <v>6.04999999999999982</v>
      </c>
      <c r="C38" s="1" t="n">
        <v>6.45000000000000018</v>
      </c>
      <c r="D38" s="1" t="n">
        <v>6.78000000000000025</v>
      </c>
      <c r="E38" s="1">
        <f>1/($B$6+$B$7*LN(B38/$D$1)+$B$8*POWER(LN(B38/$D$1),2)+$B$9*POWER(LN(B38/$D$1),3))-272.15</f>
        <v>37.8767889459610387</v>
      </c>
      <c r="F38" s="1">
        <f>1/($B$6+$B$7*LN(C38/$D$1)+$B$8*POWER(LN(C38/$D$1),2)+$B$9*POWER(LN(C38/$D$1),3))-272.15</f>
        <v>36.3182014378440385</v>
      </c>
      <c r="G38" s="1">
        <f>1/($B$6+$B$7*LN(D38/$D$1)+$B$8*POWER(LN(D38/$D$1),2)+$B$9*POWER(LN(D38/$D$1),3))-272.15</f>
        <v>35.1129420888810273</v>
      </c>
      <c r="H38" s="1">
        <f>E38-F38</f>
        <v>1.5585875081170002</v>
      </c>
      <c r="I38" s="1">
        <f>E38-G38</f>
        <v>2.76384685708000433</v>
      </c>
      <c r="J38" s="17">
        <f>F38-G38</f>
        <v>1.20525934896300413</v>
      </c>
    </row>
    <row r="39" spans="1:10">
      <c r="A39" s="16" t="s">
        <v>57</v>
      </c>
      <c r="B39" s="1" t="n">
        <v>6.30999999999999961</v>
      </c>
      <c r="C39" s="1" t="n">
        <v>6.67999999999999972</v>
      </c>
      <c r="D39" s="1" t="n">
        <v>6.91000000000000014</v>
      </c>
      <c r="E39" s="1">
        <f>1/($B$6+$B$7*LN(B39/$D$1)+$B$8*POWER(LN(B39/$D$1),2)+$B$9*POWER(LN(B39/$D$1),3))-272.15</f>
        <v>36.8508856532210416</v>
      </c>
      <c r="F39" s="1">
        <f>1/($B$6+$B$7*LN(C39/$D$1)+$B$8*POWER(LN(C39/$D$1),2)+$B$9*POWER(LN(C39/$D$1),3))-272.15</f>
        <v>35.4710027104750338</v>
      </c>
      <c r="G39" s="1">
        <f>1/($B$6+$B$7*LN(D39/$D$1)+$B$8*POWER(LN(D39/$D$1),2)+$B$9*POWER(LN(D39/$D$1),3))-272.15</f>
        <v>34.6563359733300445</v>
      </c>
      <c r="H39" s="1">
        <f>E39-F39</f>
        <v>1.37988294274600065</v>
      </c>
      <c r="I39" s="1">
        <f>E39-G39</f>
        <v>2.19454967989089766</v>
      </c>
      <c r="J39" s="17">
        <f>F39-G39</f>
        <v>0.814666737144897013</v>
      </c>
    </row>
    <row r="40" spans="1:10">
      <c r="A40" s="16" t="s">
        <v>58</v>
      </c>
      <c r="B40" s="1" t="n">
        <v>5.95999999999999996</v>
      </c>
      <c r="C40" s="1" t="n">
        <v>6.42999999999999972</v>
      </c>
      <c r="D40" s="1" t="n">
        <v>6.75</v>
      </c>
      <c r="E40" s="1">
        <f>1/($B$6+$B$7*LN(B40/$D$1)+$B$8*POWER(LN(B40/$D$1),2)+$B$9*POWER(LN(B40/$D$1),3))-272.15</f>
        <v>38.2436505023090376</v>
      </c>
      <c r="F40" s="1">
        <f>1/($B$6+$B$7*LN(C40/$D$1)+$B$8*POWER(LN(C40/$D$1),2)+$B$9*POWER(LN(C40/$D$1),3))-272.15</f>
        <v>36.3934897571440388</v>
      </c>
      <c r="G40" s="1">
        <f>1/($B$6+$B$7*LN(D40/$D$1)+$B$8*POWER(LN(D40/$D$1),2)+$B$9*POWER(LN(D40/$D$1),3))-272.15</f>
        <v>35.2197265573640266</v>
      </c>
      <c r="H40" s="1">
        <f>E40-F40</f>
        <v>1.85016074516499884</v>
      </c>
      <c r="I40" s="1">
        <f>E40-G40</f>
        <v>3.02392394494500394</v>
      </c>
      <c r="J40" s="17">
        <f>F40-G40</f>
        <v>1.1737631997800051</v>
      </c>
    </row>
    <row r="41" spans="1:10">
      <c r="A41" s="16" t="s">
        <v>59</v>
      </c>
      <c r="B41" s="1" t="n">
        <v>6.25999999999999979</v>
      </c>
      <c r="C41" s="1" t="n">
        <v>6.66999999999999993</v>
      </c>
      <c r="D41" s="1" t="n">
        <v>6.91999999999999993</v>
      </c>
      <c r="E41" s="1">
        <f>1/($B$6+$B$7*LN(B41/$D$1)+$B$8*POWER(LN(B41/$D$1),2)+$B$9*POWER(LN(B41/$D$1),3))-272.15</f>
        <v>37.0443959596990453</v>
      </c>
      <c r="F41" s="1">
        <f>1/($B$6+$B$7*LN(C41/$D$1)+$B$8*POWER(LN(C41/$D$1),2)+$B$9*POWER(LN(C41/$D$1),3))-272.15</f>
        <v>35.5071435617639963</v>
      </c>
      <c r="G41" s="1">
        <f>1/($B$6+$B$7*LN(D41/$D$1)+$B$8*POWER(LN(D41/$D$1),2)+$B$9*POWER(LN(D41/$D$1),3))-272.15</f>
        <v>34.6216175226000473</v>
      </c>
      <c r="H41" s="1">
        <f>E41-F41</f>
        <v>1.53725239793509871</v>
      </c>
      <c r="I41" s="1">
        <f>E41-G41</f>
        <v>2.42277843709900509</v>
      </c>
      <c r="J41" s="17">
        <f>F41-G41</f>
        <v>0.885526039163906376</v>
      </c>
    </row>
    <row r="42" spans="1:10">
      <c r="A42" s="16" t="s">
        <v>60</v>
      </c>
      <c r="B42" s="1" t="n">
        <v>6.26999999999999957</v>
      </c>
      <c r="C42" s="1" t="n">
        <v>6.70999999999999996</v>
      </c>
      <c r="D42" s="1" t="n">
        <v>7.04999999999999982</v>
      </c>
      <c r="E42" s="1">
        <f>1/($B$6+$B$7*LN(B42/$D$1)+$B$8*POWER(LN(B42/$D$1),2)+$B$9*POWER(LN(B42/$D$1),3))-272.15</f>
        <v>37.0055535668550419</v>
      </c>
      <c r="F42" s="1">
        <f>1/($B$6+$B$7*LN(C42/$D$1)+$B$8*POWER(LN(C42/$D$1),2)+$B$9*POWER(LN(C42/$D$1),3))-272.15</f>
        <v>35.3629481062370132</v>
      </c>
      <c r="G42" s="1">
        <f>1/($B$6+$B$7*LN(D42/$D$1)+$B$8*POWER(LN(D42/$D$1),2)+$B$9*POWER(LN(D42/$D$1),3))-272.15</f>
        <v>34.1753988835860127</v>
      </c>
      <c r="H42" s="1">
        <f>E42-F42</f>
        <v>1.64260546061800028</v>
      </c>
      <c r="I42" s="1">
        <f>E42-G42</f>
        <v>2.83015468326900077</v>
      </c>
      <c r="J42" s="17">
        <f>F42-G42</f>
        <v>1.18754922265100049</v>
      </c>
    </row>
    <row r="43" spans="1:10">
      <c r="A43" s="16" t="s">
        <v>61</v>
      </c>
      <c r="B43" s="1" t="n">
        <v>6.29000000000000004</v>
      </c>
      <c r="C43" s="1" t="n">
        <v>6.74000000000000021</v>
      </c>
      <c r="D43" s="1" t="n">
        <v>7.01999999999999957</v>
      </c>
      <c r="E43" s="1">
        <f>1/($B$6+$B$7*LN(B43/$D$1)+$B$8*POWER(LN(B43/$D$1),2)+$B$9*POWER(LN(B43/$D$1),3))-272.15</f>
        <v>36.9280797576309965</v>
      </c>
      <c r="F43" s="1">
        <f>1/($B$6+$B$7*LN(C43/$D$1)+$B$8*POWER(LN(C43/$D$1),2)+$B$9*POWER(LN(C43/$D$1),3))-272.15</f>
        <v>35.2554413197720464</v>
      </c>
      <c r="G43" s="1">
        <f>1/($B$6+$B$7*LN(D43/$D$1)+$B$8*POWER(LN(D43/$D$1),2)+$B$9*POWER(LN(D43/$D$1),3))-272.15</f>
        <v>34.2775377354780062</v>
      </c>
      <c r="H43" s="1">
        <f>E43-F43</f>
        <v>1.67263843785889321</v>
      </c>
      <c r="I43" s="1">
        <f>E43-G43</f>
        <v>2.65054202215299739</v>
      </c>
      <c r="J43" s="17">
        <f>F43-G43</f>
        <v>0.977903584294104178</v>
      </c>
    </row>
    <row r="44" spans="1:10">
      <c r="A44" s="16" t="s">
        <v>62</v>
      </c>
      <c r="B44" s="1" t="n">
        <v>6.58000000000000007</v>
      </c>
      <c r="C44" s="1" t="n">
        <v>6.80999999999999961</v>
      </c>
      <c r="D44" s="1" t="n">
        <v>7.05999999999999961</v>
      </c>
      <c r="E44" s="1">
        <f>1/($B$6+$B$7*LN(B44/$D$1)+$B$8*POWER(LN(B44/$D$1),2)+$B$9*POWER(LN(B44/$D$1),3))-272.15</f>
        <v>35.8352097137740202</v>
      </c>
      <c r="F44" s="1">
        <f>1/($B$6+$B$7*LN(C44/$D$1)+$B$8*POWER(LN(C44/$D$1),2)+$B$9*POWER(LN(C44/$D$1),3))-272.15</f>
        <v>35.0066933728920162</v>
      </c>
      <c r="G44" s="1">
        <f>1/($B$6+$B$7*LN(D44/$D$1)+$B$8*POWER(LN(D44/$D$1),2)+$B$9*POWER(LN(D44/$D$1),3))-272.15</f>
        <v>34.1414623089740417</v>
      </c>
      <c r="H44" s="1">
        <f>E44-F44</f>
        <v>0.828516340881996882</v>
      </c>
      <c r="I44" s="1">
        <f>E44-G44</f>
        <v>1.69374740479999986</v>
      </c>
      <c r="J44" s="17">
        <f>F44-G44</f>
        <v>0.865231063918002974</v>
      </c>
    </row>
    <row r="45" spans="1:10">
      <c r="A45" s="16" t="s">
        <v>63</v>
      </c>
      <c r="B45" s="1" t="n">
        <v>6.67999999999999972</v>
      </c>
      <c r="C45" s="1" t="n">
        <v>6.95999999999999996</v>
      </c>
      <c r="D45" s="1" t="n">
        <v>7.24000000000000021</v>
      </c>
      <c r="E45" s="1">
        <f>1/($B$6+$B$7*LN(B45/$D$1)+$B$8*POWER(LN(B45/$D$1),2)+$B$9*POWER(LN(B45/$D$1),3))-272.15</f>
        <v>35.4710027104750338</v>
      </c>
      <c r="F45" s="1">
        <f>1/($B$6+$B$7*LN(C45/$D$1)+$B$8*POWER(LN(C45/$D$1),2)+$B$9*POWER(LN(C45/$D$1),3))-272.15</f>
        <v>34.4833116955880428</v>
      </c>
      <c r="G45" s="1">
        <f>1/($B$6+$B$7*LN(D45/$D$1)+$B$8*POWER(LN(D45/$D$1),2)+$B$9*POWER(LN(D45/$D$1),3))-272.15</f>
        <v>33.5397791107380385</v>
      </c>
      <c r="H45" s="1">
        <f>E45-F45</f>
        <v>0.987691014886998175</v>
      </c>
      <c r="I45" s="1">
        <f>E45-G45</f>
        <v>1.93122359973699531</v>
      </c>
      <c r="J45" s="17">
        <f>F45-G45</f>
        <v>0.943532584849997136</v>
      </c>
    </row>
    <row r="46" spans="1:10">
      <c r="A46" s="16" t="s">
        <v>64</v>
      </c>
      <c r="B46" s="1" t="n">
        <v>6.90000000000000036</v>
      </c>
      <c r="C46" s="1" t="n">
        <v>6.45999999999999996</v>
      </c>
      <c r="D46" s="1" t="n">
        <v>6.59999999999999964</v>
      </c>
      <c r="E46" s="1">
        <f>1/($B$6+$B$7*LN(B46/$D$1)+$B$8*POWER(LN(B46/$D$1),2)+$B$9*POWER(LN(B46/$D$1),3))-272.15</f>
        <v>34.6911115744840117</v>
      </c>
      <c r="F46" s="1">
        <f>1/($B$6+$B$7*LN(C46/$D$1)+$B$8*POWER(LN(C46/$D$1),2)+$B$9*POWER(LN(C46/$D$1),3))-272.15</f>
        <v>36.2806567719570126</v>
      </c>
      <c r="G46" s="1">
        <f>1/($B$6+$B$7*LN(D46/$D$1)+$B$8*POWER(LN(D46/$D$1),2)+$B$9*POWER(LN(D46/$D$1),3))-272.15</f>
        <v>35.7618670344200495</v>
      </c>
      <c r="H46" s="1">
        <f>E46-F46</f>
        <v>-1.58954519747300083</v>
      </c>
      <c r="I46" s="1">
        <f>E46-G46</f>
        <v>-1.07075545993610177</v>
      </c>
      <c r="J46" s="17">
        <f>F46-G46</f>
        <v>0.518789737536899054</v>
      </c>
    </row>
    <row r="47" spans="1:10">
      <c r="A47" s="16" t="s">
        <v>65</v>
      </c>
      <c r="B47" s="1" t="n">
        <v>6.95999999999999996</v>
      </c>
      <c r="C47" s="1" t="n">
        <v>6.83999999999999986</v>
      </c>
      <c r="D47" s="1" t="n">
        <v>6.76999999999999957</v>
      </c>
      <c r="E47" s="1">
        <f>1/($B$6+$B$7*LN(B47/$D$1)+$B$8*POWER(LN(B47/$D$1),2)+$B$9*POWER(LN(B47/$D$1),3))-272.15</f>
        <v>34.4833116955880428</v>
      </c>
      <c r="F47" s="1">
        <f>1/($B$6+$B$7*LN(C47/$D$1)+$B$8*POWER(LN(C47/$D$1),2)+$B$9*POWER(LN(C47/$D$1),3))-272.15</f>
        <v>34.9009753583580391</v>
      </c>
      <c r="G47" s="1">
        <f>1/($B$6+$B$7*LN(D47/$D$1)+$B$8*POWER(LN(D47/$D$1),2)+$B$9*POWER(LN(D47/$D$1),3))-272.15</f>
        <v>35.1484771321210019</v>
      </c>
      <c r="H47" s="1">
        <f>E47-F47</f>
        <v>-0.417663662769996336</v>
      </c>
      <c r="I47" s="1">
        <f>E47-G47</f>
        <v>-0.665165436533001753</v>
      </c>
      <c r="J47" s="17">
        <f>F47-G47</f>
        <v>-0.247501773763005417</v>
      </c>
    </row>
    <row r="48" spans="1:10">
      <c r="A48" s="16" t="s">
        <v>66</v>
      </c>
      <c r="B48" s="1" t="n">
        <v>6.29999999999999982</v>
      </c>
      <c r="C48" s="1" t="n">
        <v>6.09999999999999964</v>
      </c>
      <c r="D48" s="1" t="n">
        <v>6.79999999999999982</v>
      </c>
      <c r="E48" s="1">
        <f>1/($B$6+$B$7*LN(B48/$D$1)+$B$8*POWER(LN(B48/$D$1),2)+$B$9*POWER(LN(B48/$D$1),3))-272.15</f>
        <v>36.8894478613970023</v>
      </c>
      <c r="F48" s="1">
        <f>1/($B$6+$B$7*LN(C48/$D$1)+$B$8*POWER(LN(C48/$D$1),2)+$B$9*POWER(LN(C48/$D$1),3))-272.15</f>
        <v>37.6756503949240482</v>
      </c>
      <c r="G48" s="1">
        <f>1/($B$6+$B$7*LN(D48/$D$1)+$B$8*POWER(LN(D48/$D$1),2)+$B$9*POWER(LN(D48/$D$1),3))-272.15</f>
        <v>35.0420503966940373</v>
      </c>
      <c r="H48" s="1">
        <f>E48-F48</f>
        <v>-0.786202533527095682</v>
      </c>
      <c r="I48" s="1">
        <f>E48-G48</f>
        <v>1.84739746470300048</v>
      </c>
      <c r="J48" s="17">
        <f>F48-G48</f>
        <v>2.63359999823009616</v>
      </c>
    </row>
    <row r="49" spans="1:10">
      <c r="A49" s="16" t="s">
        <v>67</v>
      </c>
      <c r="B49" s="1" t="n">
        <v>6.11000000000000032</v>
      </c>
      <c r="C49" s="1" t="n">
        <v>6.03000000000000025</v>
      </c>
      <c r="D49" s="1" t="n">
        <v>6.79000000000000004</v>
      </c>
      <c r="E49" s="1">
        <f>1/($B$6+$B$7*LN(B49/$D$1)+$B$8*POWER(LN(B49/$D$1),2)+$B$9*POWER(LN(B49/$D$1),3))-272.15</f>
        <v>37.6356477989170344</v>
      </c>
      <c r="F49" s="1">
        <f>1/($B$6+$B$7*LN(C49/$D$1)+$B$8*POWER(LN(C49/$D$1),2)+$B$9*POWER(LN(C49/$D$1),3))-272.15</f>
        <v>37.9577746099550382</v>
      </c>
      <c r="G49" s="1">
        <f>1/($B$6+$B$7*LN(D49/$D$1)+$B$8*POWER(LN(D49/$D$1),2)+$B$9*POWER(LN(D49/$D$1),3))-272.15</f>
        <v>35.077466573090021</v>
      </c>
      <c r="H49" s="1">
        <f>E49-F49</f>
        <v>-0.32212681103800378</v>
      </c>
      <c r="I49" s="1">
        <f>E49-G49</f>
        <v>2.55818122582699914</v>
      </c>
      <c r="J49" s="17">
        <f>F49-G49</f>
        <v>2.88030803686500292</v>
      </c>
    </row>
    <row r="50" spans="1:10">
      <c r="A50" s="16" t="s">
        <v>68</v>
      </c>
      <c r="B50" s="1" t="n">
        <v>5.59999999999999964</v>
      </c>
      <c r="C50" s="1" t="n">
        <v>5.65000000000000036</v>
      </c>
      <c r="D50" s="1" t="n">
        <v>6.70000000000000018</v>
      </c>
      <c r="E50" s="1">
        <f>1/($B$6+$B$7*LN(B50/$D$1)+$B$8*POWER(LN(B50/$D$1),2)+$B$9*POWER(LN(B50/$D$1),3))-272.15</f>
        <v>39.7768575980410333</v>
      </c>
      <c r="F50" s="1">
        <f>1/($B$6+$B$7*LN(C50/$D$1)+$B$8*POWER(LN(C50/$D$1),2)+$B$9*POWER(LN(C50/$D$1),3))-272.15</f>
        <v>39.5573039231430243</v>
      </c>
      <c r="G50" s="1">
        <f>1/($B$6+$B$7*LN(D50/$D$1)+$B$8*POWER(LN(D50/$D$1),2)+$B$9*POWER(LN(D50/$D$1),3))-272.15</f>
        <v>35.3989051792059968</v>
      </c>
      <c r="H50" s="1">
        <f>E50-F50</f>
        <v>0.219553674897994711</v>
      </c>
      <c r="I50" s="1">
        <f>E50-G50</f>
        <v>4.37795241883500097</v>
      </c>
      <c r="J50" s="17">
        <f>F50-G50</f>
        <v>4.15839874393700626</v>
      </c>
    </row>
    <row r="51" spans="1:10">
      <c r="A51" s="18" t="s">
        <v>69</v>
      </c>
      <c r="B51" s="9" t="n">
        <v>5.83000000000000007</v>
      </c>
      <c r="C51" s="9" t="n">
        <v>5.91000000000000014</v>
      </c>
      <c r="D51" s="9" t="n">
        <v>5.87000000000000011</v>
      </c>
      <c r="E51" s="9">
        <f>1/($B$6+$B$7*LN(B51/$D$1)+$B$8*POWER(LN(B51/$D$1),2)+$B$9*POWER(LN(B51/$D$1),3))-272.15</f>
        <v>38.7848438518470289</v>
      </c>
      <c r="F51" s="9">
        <f>1/($B$6+$B$7*LN(C51/$D$1)+$B$8*POWER(LN(C51/$D$1),2)+$B$9*POWER(LN(C51/$D$1),3))-272.15</f>
        <v>38.4501971387760477</v>
      </c>
      <c r="G51" s="9">
        <f>1/($B$6+$B$7*LN(D51/$D$1)+$B$8*POWER(LN(D51/$D$1),2)+$B$9*POWER(LN(D51/$D$1),3))-272.15</f>
        <v>38.6168715981009996</v>
      </c>
      <c r="H51" s="9">
        <f>E51-F51</f>
        <v>0.33464671307090299</v>
      </c>
      <c r="I51" s="9">
        <f>E51-G51</f>
        <v>0.167972253746000888</v>
      </c>
      <c r="J51" s="19">
        <f>F51-G51</f>
        <v>-0.166674459324902102</v>
      </c>
    </row>
    <row r="52" spans="1:10">
      <c r="A52" s="20"/>
      <c r="B52" s="21"/>
      <c r="C52" s="21"/>
      <c r="D52" s="22" t="s">
        <v>70</v>
      </c>
      <c r="E52" s="22">
        <f>AVERAGE(E25:E51)</f>
        <v>37.3690648022428391</v>
      </c>
      <c r="F52" s="22">
        <f>AVERAGE(F25:F51)</f>
        <v>36.606735539897663</v>
      </c>
      <c r="G52" s="22">
        <f>AVERAGE(G25:G51)</f>
        <v>35.3271617842213175</v>
      </c>
      <c r="H52" s="22">
        <f>AVERAGE(H25:H51)</f>
        <v>0.762329262345181036</v>
      </c>
      <c r="I52" s="22">
        <f>AVERAGE(I25:I51)</f>
        <v>2.04190301802151097</v>
      </c>
      <c r="J52" s="23">
        <f>AVERAGE(J25:J51)</f>
        <v>1.2795737556763298</v>
      </c>
    </row>
    <row r="53" spans="4:10">
      <c r="D53" s="24" t="s">
        <v>71</v>
      </c>
      <c r="E53" s="24">
        <f>MAX(E25:E52)</f>
        <v>39.7768575980410333</v>
      </c>
      <c r="F53" s="24">
        <f>MAX(F25:F52)</f>
        <v>39.5573039231430243</v>
      </c>
      <c r="G53" s="24">
        <f>MAX(G25:G52)</f>
        <v>38.6168715981009996</v>
      </c>
      <c r="H53" s="24">
        <f>MAX(H25:H52)</f>
        <v>1.85016074516499884</v>
      </c>
      <c r="I53" s="24">
        <f>MAX(I25:I52)</f>
        <v>4.37795241883500097</v>
      </c>
      <c r="J53" s="24">
        <f>MAX(J25:J52)</f>
        <v>4.15839874393700626</v>
      </c>
    </row>
  </sheetData>
  <printOptions>
    <extLst>
      <ext uri="smNativeData">
        <pm:pageFlags xmlns:pm="smNativeData" id="1565786227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565786227" l="56" r="56" t="56" b="56" borderId="0" fillId="0" vertical="0"/>
        <pm:footer xmlns:pm="smNativeData" id="1565786227" l="56" r="56" t="56" b="56" borderId="0" fillId="0" vertical="2"/>
        <pm:paperBin xmlns:pm="smNativeData" id="1565786227" Id="0" type="0" value="0"/>
        <pm:paperBin xmlns:pm="smNativeData" id="1565786227" Id="1" type="0" value="0"/>
      </ext>
    </extLst>
  </headerFooter>
  <legacyDrawing r:id="rId2"/>
  <extLst>
    <ext uri="smNativeData">
      <pm:sheetPrefs xmlns:pm="smNativeData" day="156578622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</cp:lastModifiedBy>
  <cp:revision>0</cp:revision>
  <dcterms:created xsi:type="dcterms:W3CDTF">2019-06-10T13:14:41Z</dcterms:created>
  <dcterms:modified xsi:type="dcterms:W3CDTF">2019-08-14T12:37:07Z</dcterms:modified>
</cp:coreProperties>
</file>